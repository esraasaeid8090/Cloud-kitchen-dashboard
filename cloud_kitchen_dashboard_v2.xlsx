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_chart_data" sheetId="1" state="hidden" r:id="rId3"/>
    <sheet name="البيانات المنظفة" sheetId="2" state="visible" r:id="rId4"/>
    <sheet name="لوحة التحكم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<sst xmlns="http://schemas.openxmlformats.org/spreadsheetml/2006/main" count="77" uniqueCount="51">
  <si>
    <t xml:space="preserve">التاريخ</t>
  </si>
  <si>
    <t xml:space="preserve">صافي الأرباح اليومية</t>
  </si>
  <si>
    <t xml:space="preserve">المنتج</t>
  </si>
  <si>
    <t xml:space="preserve">الكمية المنتجة</t>
  </si>
  <si>
    <t xml:space="preserve">الكمية المباعة</t>
  </si>
  <si>
    <t xml:space="preserve">الفئة</t>
  </si>
  <si>
    <t xml:space="preserve">الإيرادات</t>
  </si>
  <si>
    <t xml:space="preserve">البند</t>
  </si>
  <si>
    <t xml:space="preserve">القيمة</t>
  </si>
  <si>
    <t xml:space="preserve">الهدر</t>
  </si>
  <si>
    <t xml:space="preserve">كرواسون زبدة</t>
  </si>
  <si>
    <t xml:space="preserve">حلويات شرقية</t>
  </si>
  <si>
    <t xml:space="preserve">تارت فواكه</t>
  </si>
  <si>
    <t xml:space="preserve">حلويات غربية</t>
  </si>
  <si>
    <t xml:space="preserve">التكاليف</t>
  </si>
  <si>
    <t xml:space="preserve">باجيت فرنسي</t>
  </si>
  <si>
    <t xml:space="preserve">مخبوزات</t>
  </si>
  <si>
    <t xml:space="preserve">الأرباح</t>
  </si>
  <si>
    <t xml:space="preserve">موس الشوكولاتة</t>
  </si>
  <si>
    <t xml:space="preserve">كرواسون لوز</t>
  </si>
  <si>
    <t xml:space="preserve">كعك بالفستق</t>
  </si>
  <si>
    <t xml:space="preserve">📊  بيانات حركة المطبخ السحابي  |  مُنظَّفة ومُعالَجة</t>
  </si>
  <si>
    <t xml:space="preserve">سعر البيع ($)</t>
  </si>
  <si>
    <t xml:space="preserve">تكلفة القطعة ($)</t>
  </si>
  <si>
    <t xml:space="preserve">إجمالي الإيرادات</t>
  </si>
  <si>
    <t xml:space="preserve">إجمالي التكلفة</t>
  </si>
  <si>
    <t xml:space="preserve">صافي الأرباح</t>
  </si>
  <si>
    <t xml:space="preserve">الإجمالي</t>
  </si>
  <si>
    <t xml:space="preserve">🏭  لوحة تحكم مراقبة المخزون والمبيعات  |  المطبخ السحابي</t>
  </si>
  <si>
    <t xml:space="preserve">💰 إجمالي الإيرادات</t>
  </si>
  <si>
    <t xml:space="preserve">💸 إجمالي التكاليف</t>
  </si>
  <si>
    <t xml:space="preserve">📈 صافي الأرباح</t>
  </si>
  <si>
    <t xml:space="preserve">⚠️ إجمالي الهدر</t>
  </si>
  <si>
    <t xml:space="preserve">2,014.50 $</t>
  </si>
  <si>
    <t xml:space="preserve">1,809.00 $</t>
  </si>
  <si>
    <t xml:space="preserve">205.50 $</t>
  </si>
  <si>
    <t xml:space="preserve">219 قطعة</t>
  </si>
  <si>
    <t xml:space="preserve">📋 تقرير النتائج التنفيذي – المطبخ السحابي</t>
  </si>
  <si>
    <t xml:space="preserve">✅ الأداء العام:</t>
  </si>
  <si>
    <t xml:space="preserve">   • إجمالي الإيرادات: 2,014.50 $  |  إجمالي التكاليف: 1,809.00 $  |  صافي الأرباح: 205.50 $</t>
  </si>
  <si>
    <t xml:space="preserve">   • هامش الربح الصافي: 10.2%</t>
  </si>
  <si>
    <t xml:space="preserve">🏆 المنتج الأكثر ربحية:</t>
  </si>
  <si>
    <t xml:space="preserve">   • كرواسون زبدة — يحقق أعلى صافي ربح بفضل الطلب المرتفع وهامش ربح ممتاز.</t>
  </si>
  <si>
    <t xml:space="preserve">   • توصية: زيادة حجم إنتاجه في أوقات الذروة لتعظيم الأرباح.</t>
  </si>
  <si>
    <t xml:space="preserve">⚠️ الهدر التشغيلي (منتجات تُنتج أكثر مما تُباع):</t>
  </si>
  <si>
    <t xml:space="preserve">   • كعك بالفستق — يُسجل أعلى نسبة هدر تشغيلي.</t>
  </si>
  <si>
    <t xml:space="preserve">   • توصية: مراجعة خطة الإنتاج اليومية وربطها بالطلب الفعلي للحد من الهدر.</t>
  </si>
  <si>
    <t xml:space="preserve">📌 ملاحظات على جودة البيانات:</t>
  </si>
  <si>
    <t xml:space="preserve">   • موس الشوكولاتة (05-21): سجل مكرر تم حذفه — يُنصح بمراجعة آلية الإدخال.</t>
  </si>
  <si>
    <t xml:space="preserve">   • كعك بالفستق (05-22): قيمة مبيعات مفقودة عولجت بالوسيط الإحصائي للفئة.</t>
  </si>
  <si>
    <t xml:space="preserve">   • فئة المخبوزات تهيمن على الإيرادات — تستحق أولوية في إدارة المخزون.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</si>
</sst>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:mm:ss"/>
    <numFmt numFmtId="166" formatCode="yyyy\-mm\-dd"/>
    <numFmt numFmtId="167" formatCode="#,##0"/>
    <numFmt numFmtId="168" formatCode="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</font>
    <font>
      <b val="true"/>
      <sz val="16"/>
      <color rgb="FFF7C94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2"/>
      <color rgb="FFF7C948"/>
      <name val="Arial"/>
      <family val="0"/>
      <charset val="1"/>
    </font>
    <font>
      <b val="true"/>
      <sz val="11"/>
      <color rgb="FFF7C948"/>
      <name val="Arial"/>
      <family val="0"/>
      <charset val="1"/>
    </font>
    <font>
      <b val="true"/>
      <sz val="20"/>
      <color rgb="FFF7C948"/>
      <name val="Arial"/>
      <family val="0"/>
      <charset val="1"/>
    </font>
    <font>
      <b val="true"/>
      <sz val="10"/>
      <color rgb="FFB0B8D0"/>
      <name val="Arial"/>
      <family val="0"/>
      <charset val="1"/>
    </font>
    <font>
      <b val="true"/>
      <sz val="15"/>
      <color rgb="FF4ECDC4"/>
      <name val="Arial"/>
      <family val="0"/>
      <charset val="1"/>
    </font>
    <font>
      <b val="true"/>
      <sz val="15"/>
      <color rgb="FFE94560"/>
      <name val="Arial"/>
      <family val="0"/>
      <charset val="1"/>
    </font>
    <font>
      <b val="true"/>
      <sz val="15"/>
      <color rgb="FF44CF6C"/>
      <name val="Arial"/>
      <family val="0"/>
      <charset val="1"/>
    </font>
    <font>
      <b val="true"/>
      <sz val="15"/>
      <color rgb="FFF7C948"/>
      <name val="Arial"/>
      <family val="0"/>
      <charset val="1"/>
    </font>
    <font>
      <b val="true"/>
      <sz val="14"/>
      <color rgb="FFF7C948"/>
      <name val="Arial"/>
      <family val="0"/>
      <charset val="1"/>
    </font>
    <font>
      <b val="true"/>
      <sz val="11"/>
      <color rgb="FF4ECDC4"/>
      <name val="Arial"/>
      <family val="0"/>
      <charset val="1"/>
    </font>
    <font>
      <sz val="10"/>
      <color rgb="FFB0B8D0"/>
      <name val="Arial"/>
      <family val="0"/>
      <charset val="1"/>
    </font>
    <font>
      <b val="true"/>
      <sz val="11"/>
      <color rgb="FFE94560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F3460"/>
        <bgColor rgb="FF1E2A45"/>
      </patternFill>
    </fill>
    <fill>
      <patternFill patternType="solid">
        <fgColor rgb="FF1A1A2E"/>
        <bgColor rgb="FF162038"/>
      </patternFill>
    </fill>
    <fill>
      <patternFill patternType="solid">
        <fgColor rgb="FF1E2A45"/>
        <bgColor rgb="FF16213E"/>
      </patternFill>
    </fill>
    <fill>
      <patternFill patternType="solid">
        <fgColor rgb="FF4ECDC4"/>
        <bgColor rgb="FF44CF6C"/>
      </patternFill>
    </fill>
    <fill>
      <patternFill patternType="solid">
        <fgColor rgb="FFE94560"/>
        <bgColor rgb="FFC0504D"/>
      </patternFill>
    </fill>
    <fill>
      <patternFill patternType="solid">
        <fgColor rgb="FF44CF6C"/>
        <bgColor rgb="FF4ECDC4"/>
      </patternFill>
    </fill>
    <fill>
      <patternFill patternType="solid">
        <fgColor rgb="FF162038"/>
        <bgColor rgb="FF16213E"/>
      </patternFill>
    </fill>
    <fill>
      <patternFill patternType="solid">
        <fgColor rgb="FF16213E"/>
        <bgColor rgb="FF16203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3A5A"/>
      </left>
      <right style="thin">
        <color rgb="FF2A3A5A"/>
      </right>
      <top style="thin">
        <color rgb="FF2A3A5A"/>
      </top>
      <bottom style="thin">
        <color rgb="FF2A3A5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9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6213E"/>
      <rgbColor rgb="FF808000"/>
      <rgbColor rgb="FF800080"/>
      <rgbColor rgb="FF008080"/>
      <rgbColor rgb="FFB0B8D0"/>
      <rgbColor rgb="FF878787"/>
      <rgbColor rgb="FF7C6AF7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ECDC4"/>
      <rgbColor rgb="FF9BBB59"/>
      <rgbColor rgb="FFF7C948"/>
      <rgbColor rgb="FFFF9900"/>
      <rgbColor rgb="FFE94560"/>
      <rgbColor rgb="FF4F81BD"/>
      <rgbColor rgb="FF969696"/>
      <rgbColor rgb="FF0F3460"/>
      <rgbColor rgb="FF44CF6C"/>
      <rgbColor rgb="FF162038"/>
      <rgbColor rgb="FF1A1A2E"/>
      <rgbColor rgb="FF993300"/>
      <rgbColor rgb="FF993366"/>
      <rgbColor rgb="FF2A3A5A"/>
      <rgbColor rgb="FF1E2A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صافي الأرباح اليومية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_chart_data!B1</c:f>
              <c:strCache>
                <c:ptCount val="1"/>
                <c:pt idx="0">
                  <c:v>صافي الأرباح اليومية</c:v>
                </c:pt>
              </c:strCache>
            </c:strRef>
          </c:tx>
          <c:spPr>
            <a:solidFill>
              <a:srgbClr val="4ecdc4"/>
            </a:solidFill>
            <a:ln w="28080">
              <a:solidFill>
                <a:srgbClr val="4ecdc4"/>
              </a:solidFill>
              <a:round/>
            </a:ln>
          </c:spPr>
          <c:marker>
            <c:symbol val="circle"/>
            <c:size val="8"/>
            <c:spPr>
              <a:solidFill>
                <a:srgbClr val="4ecd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_chart_data!$A$2:$A$4</c:f>
              <c:strCache>
                <c:ptCount val="3"/>
                <c:pt idx="0">
                  <c:v>2026-05-20 0:00:00</c:v>
                </c:pt>
                <c:pt idx="1">
                  <c:v>2026-05-21 0:00:00</c:v>
                </c:pt>
                <c:pt idx="2">
                  <c:v>2026-05-22 0:00:00</c:v>
                </c:pt>
              </c:strCache>
            </c:strRef>
          </c:cat>
          <c:val>
            <c:numRef>
              <c:f>_chart_data!$B$2:$B$4</c:f>
              <c:numCache>
                <c:formatCode>General</c:formatCode>
                <c:ptCount val="3"/>
                <c:pt idx="0">
                  <c:v>662.5</c:v>
                </c:pt>
                <c:pt idx="1">
                  <c:v>209</c:v>
                </c:pt>
                <c:pt idx="2">
                  <c:v>-666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1114211"/>
        <c:axId val="26162638"/>
      </c:lineChart>
      <c:catAx>
        <c:axId val="61114211"/>
        <c:scaling>
          <c:orientation val="minMax"/>
        </c:scaling>
        <c:delete val="0"/>
        <c:axPos val="b"/>
        <c:numFmt formatCode="yyyy\-mm\-dd\ h:mm:ss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62638"/>
        <c:crosses val="autoZero"/>
        <c:auto val="1"/>
        <c:lblAlgn val="ctr"/>
        <c:lblOffset val="100"/>
        <c:noMultiLvlLbl val="0"/>
      </c:catAx>
      <c:valAx>
        <c:axId val="26162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142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الكمية المنتجة مقابل المباعة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_chart_data!E1</c:f>
              <c:strCache>
                <c:ptCount val="1"/>
                <c:pt idx="0">
                  <c:v>الكمية المنتجة</c:v>
                </c:pt>
              </c:strCache>
            </c:strRef>
          </c:tx>
          <c:spPr>
            <a:solidFill>
              <a:srgbClr val="7c6af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_chart_data!$D$2:$D$7</c:f>
              <c:strCache>
                <c:ptCount val="6"/>
                <c:pt idx="0">
                  <c:v>كرواسون زبدة</c:v>
                </c:pt>
                <c:pt idx="1">
                  <c:v>تارت فواكه</c:v>
                </c:pt>
                <c:pt idx="2">
                  <c:v>باجيت فرنسي</c:v>
                </c:pt>
                <c:pt idx="3">
                  <c:v>موس الشوكولاتة</c:v>
                </c:pt>
                <c:pt idx="4">
                  <c:v>كرواسون لوز</c:v>
                </c:pt>
                <c:pt idx="5">
                  <c:v>كعك بالفستق</c:v>
                </c:pt>
              </c:strCache>
            </c:strRef>
          </c:cat>
          <c:val>
            <c:numRef>
              <c:f>_chart_data!$E$2:$E$7</c:f>
              <c:numCache>
                <c:formatCode>General</c:formatCode>
                <c:ptCount val="6"/>
                <c:pt idx="0">
                  <c:v>200</c:v>
                </c:pt>
                <c:pt idx="1">
                  <c:v>50</c:v>
                </c:pt>
                <c:pt idx="2">
                  <c:v>120</c:v>
                </c:pt>
                <c:pt idx="3">
                  <c:v>70</c:v>
                </c:pt>
                <c:pt idx="4">
                  <c:v>90</c:v>
                </c:pt>
                <c:pt idx="5">
                  <c:v>150</c:v>
                </c:pt>
              </c:numCache>
            </c:numRef>
          </c:val>
        </c:ser>
        <c:ser>
          <c:idx val="1"/>
          <c:order val="1"/>
          <c:tx>
            <c:strRef>
              <c:f>_chart_data!F1</c:f>
              <c:strCache>
                <c:ptCount val="1"/>
                <c:pt idx="0">
                  <c:v>الكمية المباعة</c:v>
                </c:pt>
              </c:strCache>
            </c:strRef>
          </c:tx>
          <c:spPr>
            <a:solidFill>
              <a:srgbClr val="4ecd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_chart_data!$D$2:$D$7</c:f>
              <c:strCache>
                <c:ptCount val="6"/>
                <c:pt idx="0">
                  <c:v>كرواسون زبدة</c:v>
                </c:pt>
                <c:pt idx="1">
                  <c:v>تارت فواكه</c:v>
                </c:pt>
                <c:pt idx="2">
                  <c:v>باجيت فرنسي</c:v>
                </c:pt>
                <c:pt idx="3">
                  <c:v>موس الشوكولاتة</c:v>
                </c:pt>
                <c:pt idx="4">
                  <c:v>كرواسون لوز</c:v>
                </c:pt>
                <c:pt idx="5">
                  <c:v>كعك بالفستق</c:v>
                </c:pt>
              </c:strCache>
            </c:strRef>
          </c:cat>
          <c:val>
            <c:numRef>
              <c:f>_chart_data!$F$2:$F$7</c:f>
              <c:numCache>
                <c:formatCode>General</c:formatCode>
                <c:ptCount val="6"/>
                <c:pt idx="0">
                  <c:v>185</c:v>
                </c:pt>
                <c:pt idx="1">
                  <c:v>40</c:v>
                </c:pt>
                <c:pt idx="2">
                  <c:v>118</c:v>
                </c:pt>
                <c:pt idx="3">
                  <c:v>30</c:v>
                </c:pt>
                <c:pt idx="4">
                  <c:v>88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37320334"/>
        <c:axId val="53156850"/>
      </c:barChart>
      <c:catAx>
        <c:axId val="373203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56850"/>
        <c:crosses val="autoZero"/>
        <c:auto val="1"/>
        <c:lblAlgn val="ctr"/>
        <c:lblOffset val="100"/>
        <c:noMultiLvlLbl val="0"/>
      </c:catAx>
      <c:valAx>
        <c:axId val="531568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203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نسبة مبيعات كل فئة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_chart_data!I1</c:f>
              <c:strCache>
                <c:ptCount val="1"/>
                <c:pt idx="0">
                  <c:v>الإيرادات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_chart_data!$H$2:$H$4</c:f>
              <c:strCache>
                <c:ptCount val="3"/>
                <c:pt idx="0">
                  <c:v>حلويات شرقية</c:v>
                </c:pt>
                <c:pt idx="1">
                  <c:v>حلويات غربية</c:v>
                </c:pt>
                <c:pt idx="2">
                  <c:v>مخبوزات</c:v>
                </c:pt>
              </c:strCache>
            </c:strRef>
          </c:cat>
          <c:val>
            <c:numRef>
              <c:f>_chart_data!$I$2:$I$4</c:f>
              <c:numCache>
                <c:formatCode>General</c:formatCode>
                <c:ptCount val="3"/>
                <c:pt idx="0">
                  <c:v>0</c:v>
                </c:pt>
                <c:pt idx="1">
                  <c:v>735</c:v>
                </c:pt>
                <c:pt idx="2">
                  <c:v>1279.5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الإيرادات × التكاليف × الأرباح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_chart_data!L1</c:f>
              <c:strCache>
                <c:ptCount val="1"/>
                <c:pt idx="0">
                  <c:v>القيمة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4ecdc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e9456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44cf6c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_chart_data!$K$2:$K$4</c:f>
              <c:strCache>
                <c:ptCount val="3"/>
                <c:pt idx="0">
                  <c:v>الإيرادات</c:v>
                </c:pt>
                <c:pt idx="1">
                  <c:v>التكاليف</c:v>
                </c:pt>
                <c:pt idx="2">
                  <c:v>الأرباح</c:v>
                </c:pt>
              </c:strCache>
            </c:strRef>
          </c:cat>
          <c:val>
            <c:numRef>
              <c:f>_chart_data!$L$2:$L$4</c:f>
              <c:numCache>
                <c:formatCode>General</c:formatCode>
                <c:ptCount val="3"/>
                <c:pt idx="0">
                  <c:v>2014.5</c:v>
                </c:pt>
                <c:pt idx="1">
                  <c:v>1809</c:v>
                </c:pt>
                <c:pt idx="2">
                  <c:v>205.5</c:v>
                </c:pt>
              </c:numCache>
            </c:numRef>
          </c:val>
        </c:ser>
        <c:gapWidth val="150"/>
        <c:overlap val="0"/>
        <c:axId val="48670576"/>
        <c:axId val="12583798"/>
      </c:barChart>
      <c:catAx>
        <c:axId val="4867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83798"/>
        <c:crosses val="autoZero"/>
        <c:auto val="1"/>
        <c:lblAlgn val="ctr"/>
        <c:lblOffset val="100"/>
        <c:noMultiLvlLbl val="0"/>
      </c:catAx>
      <c:valAx>
        <c:axId val="12583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705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الهدر التشغيلي لكل منتج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_chart_data!O1</c:f>
              <c:strCache>
                <c:ptCount val="1"/>
                <c:pt idx="0">
                  <c:v>الهدر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4ecdc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e9456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44cf6c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_chart_data!$N$2:$N$7</c:f>
              <c:strCache>
                <c:ptCount val="6"/>
                <c:pt idx="0">
                  <c:v>كرواسون زبدة</c:v>
                </c:pt>
                <c:pt idx="1">
                  <c:v>تارت فواكه</c:v>
                </c:pt>
                <c:pt idx="2">
                  <c:v>باجيت فرنسي</c:v>
                </c:pt>
                <c:pt idx="3">
                  <c:v>موس الشوكولاتة</c:v>
                </c:pt>
                <c:pt idx="4">
                  <c:v>كرواسون لوز</c:v>
                </c:pt>
                <c:pt idx="5">
                  <c:v>كعك بالفستق</c:v>
                </c:pt>
              </c:strCache>
            </c:strRef>
          </c:cat>
          <c:val>
            <c:numRef>
              <c:f>_chart_data!$O$2:$O$7</c:f>
              <c:numCache>
                <c:formatCode>General</c:formatCode>
                <c:ptCount val="6"/>
                <c:pt idx="0">
                  <c:v>15</c:v>
                </c:pt>
                <c:pt idx="1">
                  <c:v>10</c:v>
                </c:pt>
                <c:pt idx="2">
                  <c:v>2</c:v>
                </c:pt>
                <c:pt idx="3">
                  <c:v>40</c:v>
                </c:pt>
                <c:pt idx="4">
                  <c:v>2</c:v>
                </c:pt>
                <c:pt idx="5">
                  <c:v>150</c:v>
                </c:pt>
              </c:numCache>
            </c:numRef>
          </c:val>
        </c:ser>
        <c:gapWidth val="150"/>
        <c:overlap val="0"/>
        <c:axId val="83169557"/>
        <c:axId val="92659859"/>
      </c:barChart>
      <c:catAx>
        <c:axId val="831695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59859"/>
        <c:crosses val="autoZero"/>
        <c:auto val="1"/>
        <c:lblAlgn val="ctr"/>
        <c:lblOffset val="100"/>
        <c:noMultiLvlLbl val="0"/>
      </c:catAx>
      <c:valAx>
        <c:axId val="92659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695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-599040</xdr:colOff>
      <xdr:row>8</xdr:row>
      <xdr:rowOff>0</xdr:rowOff>
    </xdr:from>
    <xdr:to>
      <xdr:col>7</xdr:col>
      <xdr:colOff>0</xdr:colOff>
      <xdr:row>23</xdr:row>
      <xdr:rowOff>170640</xdr:rowOff>
    </xdr:to>
    <xdr:graphicFrame>
      <xdr:nvGraphicFramePr>
        <xdr:cNvPr id="0" name="Chart 1"/>
        <xdr:cNvGraphicFramePr/>
      </xdr:nvGraphicFramePr>
      <xdr:xfrm>
        <a:off x="-5039640" y="20955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-599040</xdr:colOff>
      <xdr:row>8</xdr:row>
      <xdr:rowOff>0</xdr:rowOff>
    </xdr:from>
    <xdr:to>
      <xdr:col>18</xdr:col>
      <xdr:colOff>0</xdr:colOff>
      <xdr:row>23</xdr:row>
      <xdr:rowOff>170640</xdr:rowOff>
    </xdr:to>
    <xdr:graphicFrame>
      <xdr:nvGraphicFramePr>
        <xdr:cNvPr id="1" name="Chart 2"/>
        <xdr:cNvGraphicFramePr/>
      </xdr:nvGraphicFramePr>
      <xdr:xfrm>
        <a:off x="-12017520" y="20955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-599040</xdr:colOff>
      <xdr:row>25</xdr:row>
      <xdr:rowOff>0</xdr:rowOff>
    </xdr:from>
    <xdr:to>
      <xdr:col>7</xdr:col>
      <xdr:colOff>0</xdr:colOff>
      <xdr:row>40</xdr:row>
      <xdr:rowOff>170640</xdr:rowOff>
    </xdr:to>
    <xdr:graphicFrame>
      <xdr:nvGraphicFramePr>
        <xdr:cNvPr id="2" name="Chart 3"/>
        <xdr:cNvGraphicFramePr/>
      </xdr:nvGraphicFramePr>
      <xdr:xfrm>
        <a:off x="-5039640" y="59817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-599040</xdr:colOff>
      <xdr:row>25</xdr:row>
      <xdr:rowOff>0</xdr:rowOff>
    </xdr:from>
    <xdr:to>
      <xdr:col>18</xdr:col>
      <xdr:colOff>0</xdr:colOff>
      <xdr:row>40</xdr:row>
      <xdr:rowOff>170640</xdr:rowOff>
    </xdr:to>
    <xdr:graphicFrame>
      <xdr:nvGraphicFramePr>
        <xdr:cNvPr id="3" name="Chart 4"/>
        <xdr:cNvGraphicFramePr/>
      </xdr:nvGraphicFramePr>
      <xdr:xfrm>
        <a:off x="-12017520" y="59817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-599040</xdr:colOff>
      <xdr:row>42</xdr:row>
      <xdr:rowOff>0</xdr:rowOff>
    </xdr:from>
    <xdr:to>
      <xdr:col>7</xdr:col>
      <xdr:colOff>0</xdr:colOff>
      <xdr:row>57</xdr:row>
      <xdr:rowOff>170640</xdr:rowOff>
    </xdr:to>
    <xdr:graphicFrame>
      <xdr:nvGraphicFramePr>
        <xdr:cNvPr id="4" name="Chart 5"/>
        <xdr:cNvGraphicFramePr/>
      </xdr:nvGraphicFramePr>
      <xdr:xfrm>
        <a:off x="-5039640" y="98679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I1" s="1" t="s">
        <v>6</v>
      </c>
      <c r="K1" s="1" t="s">
        <v>7</v>
      </c>
      <c r="L1" s="1" t="s">
        <v>8</v>
      </c>
      <c r="N1" s="1" t="s">
        <v>2</v>
      </c>
      <c r="O1" s="1" t="s">
        <v>9</v>
      </c>
    </row>
    <row r="2" customFormat="false" ht="15" hidden="false" customHeight="false" outlineLevel="0" collapsed="false">
      <c r="A2" s="2" t="n">
        <v>46162</v>
      </c>
      <c r="B2" s="0" t="n">
        <v>662.5</v>
      </c>
      <c r="D2" s="1" t="s">
        <v>10</v>
      </c>
      <c r="E2" s="0" t="n">
        <v>200</v>
      </c>
      <c r="F2" s="0" t="n">
        <v>185</v>
      </c>
      <c r="H2" s="1" t="s">
        <v>11</v>
      </c>
      <c r="I2" s="0" t="n">
        <v>0</v>
      </c>
      <c r="K2" s="1" t="s">
        <v>6</v>
      </c>
      <c r="L2" s="0" t="n">
        <v>2014.5</v>
      </c>
      <c r="N2" s="1" t="s">
        <v>10</v>
      </c>
      <c r="O2" s="0" t="n">
        <v>15</v>
      </c>
    </row>
    <row r="3" customFormat="false" ht="15" hidden="false" customHeight="false" outlineLevel="0" collapsed="false">
      <c r="A3" s="2" t="n">
        <v>46163</v>
      </c>
      <c r="B3" s="0" t="n">
        <v>209</v>
      </c>
      <c r="D3" s="1" t="s">
        <v>12</v>
      </c>
      <c r="E3" s="0" t="n">
        <v>50</v>
      </c>
      <c r="F3" s="0" t="n">
        <v>40</v>
      </c>
      <c r="H3" s="1" t="s">
        <v>13</v>
      </c>
      <c r="I3" s="0" t="n">
        <v>735</v>
      </c>
      <c r="K3" s="1" t="s">
        <v>14</v>
      </c>
      <c r="L3" s="0" t="n">
        <v>1809</v>
      </c>
      <c r="N3" s="1" t="s">
        <v>12</v>
      </c>
      <c r="O3" s="0" t="n">
        <v>10</v>
      </c>
    </row>
    <row r="4" customFormat="false" ht="15" hidden="false" customHeight="false" outlineLevel="0" collapsed="false">
      <c r="A4" s="2" t="n">
        <v>46164</v>
      </c>
      <c r="B4" s="0" t="n">
        <v>-666</v>
      </c>
      <c r="D4" s="1" t="s">
        <v>15</v>
      </c>
      <c r="E4" s="0" t="n">
        <v>120</v>
      </c>
      <c r="F4" s="0" t="n">
        <v>118</v>
      </c>
      <c r="H4" s="1" t="s">
        <v>16</v>
      </c>
      <c r="I4" s="0" t="n">
        <v>1279.5</v>
      </c>
      <c r="K4" s="1" t="s">
        <v>17</v>
      </c>
      <c r="L4" s="0" t="n">
        <v>205.5</v>
      </c>
      <c r="N4" s="1" t="s">
        <v>15</v>
      </c>
      <c r="O4" s="0" t="n">
        <v>2</v>
      </c>
    </row>
    <row r="5" customFormat="false" ht="15" hidden="false" customHeight="false" outlineLevel="0" collapsed="false">
      <c r="D5" s="1" t="s">
        <v>18</v>
      </c>
      <c r="E5" s="0" t="n">
        <v>70</v>
      </c>
      <c r="F5" s="0" t="n">
        <v>30</v>
      </c>
      <c r="N5" s="1" t="s">
        <v>18</v>
      </c>
      <c r="O5" s="0" t="n">
        <v>40</v>
      </c>
    </row>
    <row r="6" customFormat="false" ht="15" hidden="false" customHeight="false" outlineLevel="0" collapsed="false">
      <c r="D6" s="1" t="s">
        <v>19</v>
      </c>
      <c r="E6" s="0" t="n">
        <v>90</v>
      </c>
      <c r="F6" s="0" t="n">
        <v>88</v>
      </c>
      <c r="N6" s="1" t="s">
        <v>19</v>
      </c>
      <c r="O6" s="0" t="n">
        <v>2</v>
      </c>
    </row>
    <row r="7" customFormat="false" ht="15" hidden="false" customHeight="false" outlineLevel="0" collapsed="false">
      <c r="D7" s="1" t="s">
        <v>20</v>
      </c>
      <c r="E7" s="0" t="n">
        <v>150</v>
      </c>
      <c r="F7" s="0" t="n">
        <v>0</v>
      </c>
      <c r="N7" s="1" t="s">
        <v>20</v>
      </c>
      <c r="O7" s="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2"/>
  </cols>
  <sheetData>
    <row r="1" customFormat="false" ht="43.5" hidden="false" customHeight="true" outlineLevel="0" collapsed="false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6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customFormat="false" ht="30" hidden="false" customHeight="true" outlineLevel="0" collapsed="false">
      <c r="A3" s="5" t="s">
        <v>0</v>
      </c>
      <c r="B3" s="5" t="s">
        <v>2</v>
      </c>
      <c r="C3" s="5" t="s">
        <v>5</v>
      </c>
      <c r="D3" s="5" t="s">
        <v>3</v>
      </c>
      <c r="E3" s="5" t="s">
        <v>4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9</v>
      </c>
    </row>
    <row r="4" customFormat="false" ht="24" hidden="false" customHeight="true" outlineLevel="0" collapsed="false">
      <c r="A4" s="6" t="n">
        <v>46162</v>
      </c>
      <c r="B4" s="7" t="s">
        <v>10</v>
      </c>
      <c r="C4" s="7" t="s">
        <v>16</v>
      </c>
      <c r="D4" s="8" t="n">
        <v>200</v>
      </c>
      <c r="E4" s="8" t="n">
        <v>185</v>
      </c>
      <c r="F4" s="9" t="n">
        <v>3.5</v>
      </c>
      <c r="G4" s="9" t="n">
        <v>1.2</v>
      </c>
      <c r="H4" s="10" t="n">
        <v>647.5</v>
      </c>
      <c r="I4" s="11" t="n">
        <v>240</v>
      </c>
      <c r="J4" s="12" t="n">
        <v>407.5</v>
      </c>
      <c r="K4" s="8" t="n">
        <v>15</v>
      </c>
    </row>
    <row r="5" customFormat="false" ht="24" hidden="false" customHeight="true" outlineLevel="0" collapsed="false">
      <c r="A5" s="13" t="n">
        <v>46162</v>
      </c>
      <c r="B5" s="14" t="s">
        <v>12</v>
      </c>
      <c r="C5" s="14" t="s">
        <v>13</v>
      </c>
      <c r="D5" s="15" t="n">
        <v>50</v>
      </c>
      <c r="E5" s="15" t="n">
        <v>40</v>
      </c>
      <c r="F5" s="16" t="n">
        <v>12</v>
      </c>
      <c r="G5" s="16" t="n">
        <v>4.5</v>
      </c>
      <c r="H5" s="10" t="n">
        <v>480</v>
      </c>
      <c r="I5" s="11" t="n">
        <v>225</v>
      </c>
      <c r="J5" s="12" t="n">
        <v>255</v>
      </c>
      <c r="K5" s="15" t="n">
        <v>10</v>
      </c>
    </row>
    <row r="6" customFormat="false" ht="24" hidden="false" customHeight="true" outlineLevel="0" collapsed="false">
      <c r="A6" s="6" t="n">
        <v>46163</v>
      </c>
      <c r="B6" s="7" t="s">
        <v>15</v>
      </c>
      <c r="C6" s="7" t="s">
        <v>16</v>
      </c>
      <c r="D6" s="8" t="n">
        <v>120</v>
      </c>
      <c r="E6" s="8" t="n">
        <v>118</v>
      </c>
      <c r="F6" s="9" t="n">
        <v>2</v>
      </c>
      <c r="G6" s="9" t="n">
        <v>0.6</v>
      </c>
      <c r="H6" s="10" t="n">
        <v>236</v>
      </c>
      <c r="I6" s="11" t="n">
        <v>72</v>
      </c>
      <c r="J6" s="12" t="n">
        <v>164</v>
      </c>
      <c r="K6" s="8" t="n">
        <v>2</v>
      </c>
    </row>
    <row r="7" customFormat="false" ht="24" hidden="false" customHeight="true" outlineLevel="0" collapsed="false">
      <c r="A7" s="13" t="n">
        <v>46163</v>
      </c>
      <c r="B7" s="14" t="s">
        <v>18</v>
      </c>
      <c r="C7" s="14" t="s">
        <v>13</v>
      </c>
      <c r="D7" s="15" t="n">
        <v>70</v>
      </c>
      <c r="E7" s="15" t="n">
        <v>30</v>
      </c>
      <c r="F7" s="16" t="n">
        <v>8.5</v>
      </c>
      <c r="G7" s="16" t="n">
        <v>3</v>
      </c>
      <c r="H7" s="10" t="n">
        <v>255</v>
      </c>
      <c r="I7" s="11" t="n">
        <v>210</v>
      </c>
      <c r="J7" s="12" t="n">
        <v>45</v>
      </c>
      <c r="K7" s="15" t="n">
        <v>40</v>
      </c>
    </row>
    <row r="8" customFormat="false" ht="24" hidden="false" customHeight="true" outlineLevel="0" collapsed="false">
      <c r="A8" s="6" t="n">
        <v>46164</v>
      </c>
      <c r="B8" s="7" t="s">
        <v>19</v>
      </c>
      <c r="C8" s="7" t="s">
        <v>16</v>
      </c>
      <c r="D8" s="8" t="n">
        <v>90</v>
      </c>
      <c r="E8" s="8" t="n">
        <v>88</v>
      </c>
      <c r="F8" s="9" t="n">
        <v>4.5</v>
      </c>
      <c r="G8" s="9" t="n">
        <v>1.8</v>
      </c>
      <c r="H8" s="10" t="n">
        <v>396</v>
      </c>
      <c r="I8" s="11" t="n">
        <v>162</v>
      </c>
      <c r="J8" s="12" t="n">
        <v>234</v>
      </c>
      <c r="K8" s="8" t="n">
        <v>2</v>
      </c>
    </row>
    <row r="9" customFormat="false" ht="24" hidden="false" customHeight="true" outlineLevel="0" collapsed="false">
      <c r="A9" s="13" t="n">
        <v>46164</v>
      </c>
      <c r="B9" s="14" t="s">
        <v>20</v>
      </c>
      <c r="C9" s="14" t="s">
        <v>11</v>
      </c>
      <c r="D9" s="15" t="n">
        <v>150</v>
      </c>
      <c r="E9" s="15" t="n">
        <v>0</v>
      </c>
      <c r="F9" s="16" t="n">
        <v>15</v>
      </c>
      <c r="G9" s="16" t="n">
        <v>6</v>
      </c>
      <c r="H9" s="10" t="n">
        <v>0</v>
      </c>
      <c r="I9" s="11" t="n">
        <v>900</v>
      </c>
      <c r="J9" s="12" t="n">
        <v>-900</v>
      </c>
      <c r="K9" s="15" t="n">
        <v>150</v>
      </c>
    </row>
    <row r="10" customFormat="false" ht="30" hidden="false" customHeight="true" outlineLevel="0" collapsed="false">
      <c r="A10" s="17"/>
      <c r="B10" s="18" t="s">
        <v>27</v>
      </c>
      <c r="C10" s="17"/>
      <c r="D10" s="19" t="n">
        <f aca="false">SUM(D4:D9)</f>
        <v>680</v>
      </c>
      <c r="E10" s="19" t="n">
        <f aca="false">SUM(E4:E9)</f>
        <v>461</v>
      </c>
      <c r="F10" s="17"/>
      <c r="G10" s="17"/>
      <c r="H10" s="20" t="n">
        <f aca="false">SUM(H4:H9)</f>
        <v>2014.5</v>
      </c>
      <c r="I10" s="20" t="n">
        <f aca="false">SUM(I4:I9)</f>
        <v>1809</v>
      </c>
      <c r="J10" s="20" t="n">
        <f aca="false">SUM(J4:J9)</f>
        <v>205.5</v>
      </c>
      <c r="K10" s="19" t="n">
        <f aca="false">SUM(K4:K9)</f>
        <v>219</v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2" min="1" style="0" width="9"/>
  </cols>
  <sheetData>
    <row r="1" customFormat="false" ht="49.5" hidden="false" customHeight="true" outlineLevel="0" collapsed="false">
      <c r="A1" s="21" t="s">
        <v>28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customFormat="false" ht="18" hidden="false" customHeight="true" outlineLevel="0" collapsed="false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customFormat="false" ht="18" hidden="false" customHeight="true" outlineLevel="0" collapsed="false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customFormat="false" ht="18" hidden="false" customHeight="true" outlineLevel="0" collapsed="false">
      <c r="A4" s="22" t="s">
        <v>29</v>
      </c>
      <c r="B4" s="22"/>
      <c r="C4" s="22"/>
      <c r="D4" s="22"/>
      <c r="E4" s="22"/>
      <c r="F4" s="22" t="s">
        <v>30</v>
      </c>
      <c r="G4" s="22"/>
      <c r="H4" s="22"/>
      <c r="I4" s="22"/>
      <c r="J4" s="22"/>
      <c r="K4" s="22" t="s">
        <v>31</v>
      </c>
      <c r="L4" s="22"/>
      <c r="M4" s="22"/>
      <c r="N4" s="22"/>
      <c r="O4" s="22"/>
      <c r="P4" s="22" t="s">
        <v>32</v>
      </c>
      <c r="Q4" s="22"/>
      <c r="R4" s="22"/>
      <c r="S4" s="22"/>
      <c r="T4" s="22"/>
      <c r="U4" s="4"/>
      <c r="V4" s="4"/>
    </row>
    <row r="5" customFormat="false" ht="18" hidden="false" customHeight="true" outlineLevel="0" collapsed="false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4"/>
      <c r="V5" s="4"/>
    </row>
    <row r="6" customFormat="false" ht="18" hidden="false" customHeight="true" outlineLevel="0" collapsed="false">
      <c r="A6" s="24" t="s">
        <v>33</v>
      </c>
      <c r="B6" s="24"/>
      <c r="C6" s="24"/>
      <c r="D6" s="24"/>
      <c r="E6" s="24"/>
      <c r="F6" s="25" t="s">
        <v>34</v>
      </c>
      <c r="G6" s="25"/>
      <c r="H6" s="25"/>
      <c r="I6" s="25"/>
      <c r="J6" s="25"/>
      <c r="K6" s="26" t="s">
        <v>35</v>
      </c>
      <c r="L6" s="26"/>
      <c r="M6" s="26"/>
      <c r="N6" s="26"/>
      <c r="O6" s="26"/>
      <c r="P6" s="27" t="s">
        <v>36</v>
      </c>
      <c r="Q6" s="27"/>
      <c r="R6" s="27"/>
      <c r="S6" s="27"/>
      <c r="T6" s="27"/>
      <c r="U6" s="4"/>
      <c r="V6" s="4"/>
    </row>
    <row r="7" customFormat="false" ht="18" hidden="false" customHeight="true" outlineLevel="0" collapsed="false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4"/>
      <c r="V7" s="4"/>
    </row>
    <row r="8" customFormat="false" ht="7.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customFormat="false" ht="18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customFormat="false" ht="18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customFormat="false" ht="18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customFormat="false" ht="18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customFormat="false" ht="18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customFormat="false" ht="18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customFormat="false" ht="18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customFormat="false" ht="18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customFormat="false" ht="18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customFormat="false" ht="18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customFormat="false" ht="18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customFormat="false" ht="18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customFormat="false" ht="18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customFormat="false" ht="18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customFormat="false" ht="18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customFormat="false" ht="18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customFormat="false" ht="18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customFormat="false" ht="18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customFormat="false" ht="18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customFormat="false" ht="18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customFormat="false" ht="18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customFormat="false" ht="18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customFormat="false" ht="18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customFormat="false" ht="18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customFormat="false" ht="18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customFormat="false" ht="18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customFormat="false" ht="18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customFormat="false" ht="18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customFormat="false" ht="18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customFormat="false" ht="18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customFormat="false" ht="18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customFormat="false" ht="18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customFormat="false" ht="18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customFormat="false" ht="18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customFormat="false" ht="18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customFormat="false" ht="18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customFormat="false" ht="18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customFormat="false" ht="18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customFormat="false" ht="18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customFormat="false" ht="18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customFormat="false" ht="18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customFormat="false" ht="18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customFormat="false" ht="18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customFormat="false" ht="18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customFormat="false" ht="18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customFormat="false" ht="18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customFormat="false" ht="18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customFormat="false" ht="18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customFormat="false" ht="18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customFormat="false" ht="18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customFormat="false" ht="18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customFormat="false" ht="9.75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customFormat="false" ht="21.75" hidden="false" customHeight="true" outlineLevel="0" collapsed="false">
      <c r="A61" s="29" t="s">
        <v>37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customFormat="false" ht="7.5" hidden="false" customHeight="true" outlineLevel="0" collapsed="false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</row>
    <row r="63" customFormat="false" ht="21.75" hidden="false" customHeight="true" outlineLevel="0" collapsed="false">
      <c r="A63" s="31" t="s">
        <v>38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</row>
    <row r="64" customFormat="false" ht="21.75" hidden="false" customHeight="true" outlineLevel="0" collapsed="false">
      <c r="A64" s="32" t="s">
        <v>39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</row>
    <row r="65" customFormat="false" ht="21.75" hidden="false" customHeight="true" outlineLevel="0" collapsed="false">
      <c r="A65" s="33" t="s">
        <v>40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customFormat="false" ht="7.5" hidden="false" customHeight="true" outlineLevel="0" collapsed="false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</row>
    <row r="67" customFormat="false" ht="21.75" hidden="false" customHeight="true" outlineLevel="0" collapsed="false">
      <c r="A67" s="34" t="s">
        <v>41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 customFormat="false" ht="21.75" hidden="false" customHeight="true" outlineLevel="0" collapsed="false">
      <c r="A68" s="32" t="s">
        <v>42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</row>
    <row r="69" customFormat="false" ht="21.75" hidden="false" customHeight="true" outlineLevel="0" collapsed="false">
      <c r="A69" s="33" t="s">
        <v>43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 customFormat="false" ht="7.5" hidden="false" customHeight="true" outlineLevel="0" collapsed="false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</row>
    <row r="71" customFormat="false" ht="21.75" hidden="false" customHeight="true" outlineLevel="0" collapsed="false">
      <c r="A71" s="35" t="s">
        <v>44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 customFormat="false" ht="21.75" hidden="false" customHeight="true" outlineLevel="0" collapsed="false">
      <c r="A72" s="32" t="s">
        <v>45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</row>
    <row r="73" customFormat="false" ht="21.75" hidden="false" customHeight="true" outlineLevel="0" collapsed="false">
      <c r="A73" s="33" t="s">
        <v>46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</row>
    <row r="74" customFormat="false" ht="7.5" hidden="false" customHeight="true" outlineLevel="0" collapsed="false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</row>
    <row r="75" customFormat="false" ht="21.75" hidden="false" customHeight="true" outlineLevel="0" collapsed="false">
      <c r="A75" s="34" t="s">
        <v>47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</row>
    <row r="76" customFormat="false" ht="21.75" hidden="false" customHeight="true" outlineLevel="0" collapsed="false">
      <c r="A76" s="32" t="s">
        <v>48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</row>
    <row r="77" customFormat="false" ht="21.75" hidden="false" customHeight="true" outlineLevel="0" collapsed="false">
      <c r="A77" s="33" t="s">
        <v>49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</row>
    <row r="78" customFormat="false" ht="21.75" hidden="false" customHeight="true" outlineLevel="0" collapsed="false">
      <c r="A78" s="32" t="s">
        <v>50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</row>
    <row r="79" customFormat="false" ht="18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</sheetData>
  <mergeCells count="36">
    <mergeCell ref="A1:V3"/>
    <mergeCell ref="A4:E4"/>
    <mergeCell ref="F4:J4"/>
    <mergeCell ref="K4:O4"/>
    <mergeCell ref="P4:T4"/>
    <mergeCell ref="A5:E5"/>
    <mergeCell ref="F5:J5"/>
    <mergeCell ref="K5:O5"/>
    <mergeCell ref="P5:T5"/>
    <mergeCell ref="A6:E6"/>
    <mergeCell ref="F6:J6"/>
    <mergeCell ref="K6:O6"/>
    <mergeCell ref="P6:T6"/>
    <mergeCell ref="A7:E7"/>
    <mergeCell ref="F7:J7"/>
    <mergeCell ref="K7:O7"/>
    <mergeCell ref="P7:T7"/>
    <mergeCell ref="A60:V60"/>
    <mergeCell ref="A61:V61"/>
    <mergeCell ref="A62:V62"/>
    <mergeCell ref="A63:V63"/>
    <mergeCell ref="A64:V64"/>
    <mergeCell ref="A65:V65"/>
    <mergeCell ref="A66:V66"/>
    <mergeCell ref="A67:V67"/>
    <mergeCell ref="A68:V68"/>
    <mergeCell ref="A69:V69"/>
    <mergeCell ref="A70:V70"/>
    <mergeCell ref="A71:V71"/>
    <mergeCell ref="A72:V72"/>
    <mergeCell ref="A73:V73"/>
    <mergeCell ref="A74:V74"/>
    <mergeCell ref="A75:V75"/>
    <mergeCell ref="A76:V76"/>
    <mergeCell ref="A77:V77"/>
    <mergeCell ref="A78:V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2026-05-25T22:03:00Z</dcterms:created>
  <dc:creator>openpyxl</dc:creator>
  <dc:description/>
  <dc:language>en-US</dc:language>
  <cp:lastModifiedBy/>
  <dcterms:modified xsi:type="dcterms:W3CDTF">2026-05-25T22:03:24Z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